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My budget" sheetId="2" state="visible" r:id="rId4"/>
    <sheet name="My debts" sheetId="3" state="visible" r:id="rId5"/>
    <sheet name="Example" sheetId="4" state="visible" r:id="rId6"/>
    <sheet name="Example deb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Comes from the debts tab. Change it there.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Comes from the debts tab. Change it there.</t>
        </r>
      </text>
    </comment>
  </commentList>
</comments>
</file>

<file path=xl/sharedStrings.xml><?xml version="1.0" encoding="utf-8"?>
<sst xmlns="http://schemas.openxmlformats.org/spreadsheetml/2006/main" count="171" uniqueCount="88">
  <si>
    <t xml:space="preserve">Melius One · Monthly Budget</t>
  </si>
  <si>
    <t xml:space="preserve">Every dollar gets a job. Fill this in once, then update it in 10 minutes a month.</t>
  </si>
  <si>
    <t xml:space="preserve">1</t>
  </si>
  <si>
    <t xml:space="preserve">Go to the "My budget" tab. Type the month at the top.</t>
  </si>
  <si>
    <t xml:space="preserve">2</t>
  </si>
  <si>
    <t xml:space="preserve">Fill in the yellow cells in the Planned column: what you expect to earn and spend this month. Use take-home pay, after tax.</t>
  </si>
  <si>
    <t xml:space="preserve">3</t>
  </si>
  <si>
    <t xml:space="preserve">Look at "Left over" at the bottom. Aim for $0: every dollar has a job (spending, saving or paying down debt).</t>
  </si>
  <si>
    <t xml:space="preserve">4</t>
  </si>
  <si>
    <t xml:space="preserve">List every debt on the "My debts" tab. The Order column ranks them by interest rate, highest first. That is the one to pay off first.</t>
  </si>
  <si>
    <t xml:space="preserve">5</t>
  </si>
  <si>
    <t xml:space="preserve">At the end of the month, fill in the Actual column from your bank and card statements. The Difference column shows where the money really went.</t>
  </si>
  <si>
    <t xml:space="preserve">6</t>
  </si>
  <si>
    <t xml:space="preserve">Next month, save a copy of this file (or duplicate the tab) and start again. It gets easier every month.</t>
  </si>
  <si>
    <t xml:space="preserve">How to read the colours</t>
  </si>
  <si>
    <t xml:space="preserve">Yellow cells: type your numbers here.</t>
  </si>
  <si>
    <t xml:space="preserve">White cells: calculated for you. No need to touch them.</t>
  </si>
  <si>
    <t xml:space="preserve">See the "Example" tab for a filled-in budget. Your numbers will be different, and that is fine.</t>
  </si>
  <si>
    <t xml:space="preserve">Melius One Consulting · meliusoneconsulting.com · For education only, not financial, tax or legal advice.</t>
  </si>
  <si>
    <t xml:space="preserve">My monthly budget</t>
  </si>
  <si>
    <t xml:space="preserve">Month:</t>
  </si>
  <si>
    <t xml:space="preserve">Income</t>
  </si>
  <si>
    <t xml:space="preserve">Planned</t>
  </si>
  <si>
    <t xml:space="preserve">Actual</t>
  </si>
  <si>
    <t xml:space="preserve">Difference</t>
  </si>
  <si>
    <t xml:space="preserve">Take-home pay</t>
  </si>
  <si>
    <t xml:space="preserve">Partner’s take-home pay</t>
  </si>
  <si>
    <t xml:space="preserve">Canada Child Benefit</t>
  </si>
  <si>
    <t xml:space="preserve">Side income</t>
  </si>
  <si>
    <t xml:space="preserve">Other income</t>
  </si>
  <si>
    <t xml:space="preserve">Total income</t>
  </si>
  <si>
    <t xml:space="preserve">Must-pays</t>
  </si>
  <si>
    <t xml:space="preserve">Rent or mortgage</t>
  </si>
  <si>
    <t xml:space="preserve">Property tax or condo fees</t>
  </si>
  <si>
    <t xml:space="preserve">Home or tenant insurance</t>
  </si>
  <si>
    <t xml:space="preserve">Hydro, gas and water</t>
  </si>
  <si>
    <t xml:space="preserve">Phone and internet</t>
  </si>
  <si>
    <t xml:space="preserve">Car insurance</t>
  </si>
  <si>
    <t xml:space="preserve">Childcare</t>
  </si>
  <si>
    <t xml:space="preserve">Debt minimum payments</t>
  </si>
  <si>
    <t xml:space="preserve">Sending money home</t>
  </si>
  <si>
    <t xml:space="preserve">Total must-pays</t>
  </si>
  <si>
    <t xml:space="preserve">Everyday spending</t>
  </si>
  <si>
    <t xml:space="preserve">Groceries</t>
  </si>
  <si>
    <t xml:space="preserve">Gas, parking and transit</t>
  </si>
  <si>
    <t xml:space="preserve">Eating out and takeout</t>
  </si>
  <si>
    <t xml:space="preserve">Kids: activities, clothes, school</t>
  </si>
  <si>
    <t xml:space="preserve">Personal care and clothing</t>
  </si>
  <si>
    <t xml:space="preserve">Subscriptions</t>
  </si>
  <si>
    <t xml:space="preserve">Church and giving</t>
  </si>
  <si>
    <t xml:space="preserve">Fun and everything else</t>
  </si>
  <si>
    <t xml:space="preserve">Total everyday spending</t>
  </si>
  <si>
    <t xml:space="preserve">Saving and investing</t>
  </si>
  <si>
    <t xml:space="preserve">Emergency cushion</t>
  </si>
  <si>
    <t xml:space="preserve">TFSA</t>
  </si>
  <si>
    <t xml:space="preserve">RRSP or FHSA</t>
  </si>
  <si>
    <t xml:space="preserve">RESP</t>
  </si>
  <si>
    <t xml:space="preserve">Extra debt payment</t>
  </si>
  <si>
    <t xml:space="preserve">Total saving and investing</t>
  </si>
  <si>
    <t xml:space="preserve">Difference: green means you did better than planned, red means you went over.</t>
  </si>
  <si>
    <t xml:space="preserve">Summary</t>
  </si>
  <si>
    <t xml:space="preserve">Money in</t>
  </si>
  <si>
    <t xml:space="preserve">Money out: must-pays + everyday</t>
  </si>
  <si>
    <t xml:space="preserve">Left over (aim for $0)</t>
  </si>
  <si>
    <t xml:space="preserve">Saving rate (aim for 10% or more)</t>
  </si>
  <si>
    <t xml:space="preserve">Your monthly number</t>
  </si>
  <si>
    <t xml:space="preserve">What your household needs each month</t>
  </si>
  <si>
    <t xml:space="preserve">Cushion: 1 month in a savings account</t>
  </si>
  <si>
    <t xml:space="preserve">Cushion: 2 months in a high-interest savings ETF</t>
  </si>
  <si>
    <t xml:space="preserve">Your cushion target</t>
  </si>
  <si>
    <t xml:space="preserve">Melius One Consulting · For education only, not financial, tax or legal advice.</t>
  </si>
  <si>
    <t xml:space="preserve">My debts</t>
  </si>
  <si>
    <t xml:space="preserve">List every debt. Pay the minimum on all of them, and put any extra money on Order 1 first.</t>
  </si>
  <si>
    <t xml:space="preserve">Debt</t>
  </si>
  <si>
    <t xml:space="preserve">Balance owed</t>
  </si>
  <si>
    <t xml:space="preserve">Interest rate</t>
  </si>
  <si>
    <t xml:space="preserve">Minimum payment</t>
  </si>
  <si>
    <t xml:space="preserve">Order</t>
  </si>
  <si>
    <t xml:space="preserve">Total</t>
  </si>
  <si>
    <t xml:space="preserve">Include car loans, credit cards, lines of credit and student loans. Type 21% as 21%. Order 1 = highest rate = pay this off first. The total minimum payment flows into your budget automatically.</t>
  </si>
  <si>
    <t xml:space="preserve">Example budget</t>
  </si>
  <si>
    <t xml:space="preserve">January 2027</t>
  </si>
  <si>
    <t xml:space="preserve">Example numbers for a family of five. Yours will look different.</t>
  </si>
  <si>
    <t xml:space="preserve">Example debts</t>
  </si>
  <si>
    <t xml:space="preserve">Credit card</t>
  </si>
  <si>
    <t xml:space="preserve">Car loan</t>
  </si>
  <si>
    <t xml:space="preserve">Line of credit</t>
  </si>
  <si>
    <t xml:space="preserve">Student loan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</si>
</sst>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;\-"/>
    <numFmt numFmtId="166" formatCode="0%"/>
    <numFmt numFmtId="167" formatCode="0.0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4213D"/>
      <name val="Arial"/>
      <family val="0"/>
      <charset val="1"/>
    </font>
    <font>
      <i val="true"/>
      <sz val="11"/>
      <color rgb="FF4F5B6E"/>
      <name val="Arial"/>
      <family val="0"/>
      <charset val="1"/>
    </font>
    <font>
      <b val="true"/>
      <sz val="14"/>
      <color rgb="FFA8803F"/>
      <name val="Arial"/>
      <family val="0"/>
      <charset val="1"/>
    </font>
    <font>
      <sz val="11"/>
      <color rgb="FF14213D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4F5B6E"/>
      <name val="Arial"/>
      <family val="0"/>
      <charset val="1"/>
    </font>
    <font>
      <sz val="9"/>
      <color rgb="FF8A8F99"/>
      <name val="Arial"/>
      <family val="0"/>
      <charset val="1"/>
    </font>
    <font>
      <b val="true"/>
      <sz val="18"/>
      <color rgb="FF14213D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8A8F99"/>
      <name val="Arial"/>
      <family val="0"/>
      <charset val="1"/>
    </font>
    <font>
      <b val="true"/>
      <sz val="11"/>
      <color rgb="FFA8803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4CC"/>
        <bgColor rgb="FFF7F5F0"/>
      </patternFill>
    </fill>
    <fill>
      <patternFill patternType="solid">
        <fgColor rgb="FF14213D"/>
        <bgColor rgb="FF003366"/>
      </patternFill>
    </fill>
    <fill>
      <patternFill patternType="solid">
        <fgColor rgb="FFF7F5F0"/>
        <bgColor rgb="FFFFFFFF"/>
      </patternFill>
    </fill>
    <fill>
      <patternFill patternType="solid">
        <fgColor rgb="FFA8803F"/>
        <bgColor rgb="FF8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6E1D7"/>
      </left>
      <right style="thin">
        <color rgb="FFE6E1D7"/>
      </right>
      <top style="thin">
        <color rgb="FFE6E1D7"/>
      </top>
      <bottom style="thin">
        <color rgb="FFE6E1D7"/>
      </bottom>
      <diagonal/>
    </border>
    <border diagonalUp="false" diagonalDown="false">
      <left/>
      <right/>
      <top/>
      <bottom style="thin">
        <color rgb="FFE6E1D7"/>
      </bottom>
      <diagonal/>
    </border>
    <border diagonalUp="false" diagonalDown="false">
      <left/>
      <right/>
      <top style="medium">
        <color rgb="FF14213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C0392B"/>
      </font>
    </dxf>
    <dxf>
      <font>
        <name val="Arial"/>
        <charset val="1"/>
        <family val="0"/>
        <color rgb="FF1E7A46"/>
      </font>
    </dxf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803F"/>
      <rgbColor rgb="FF800080"/>
      <rgbColor rgb="FF1E7A46"/>
      <rgbColor rgb="FFBFC7D5"/>
      <rgbColor rgb="FF808080"/>
      <rgbColor rgb="FF9999FF"/>
      <rgbColor rgb="FF993366"/>
      <rgbColor rgb="FFFFF4CC"/>
      <rgbColor rgb="FFF7F5F0"/>
      <rgbColor rgb="FF660066"/>
      <rgbColor rgb="FFFF8080"/>
      <rgbColor rgb="FF0066CC"/>
      <rgbColor rgb="FFE6E1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5B6E"/>
      <rgbColor rgb="FF8A8F99"/>
      <rgbColor rgb="FF003366"/>
      <rgbColor rgb="FF339966"/>
      <rgbColor rgb="FF003300"/>
      <rgbColor rgb="FF333300"/>
      <rgbColor rgb="FFC0392B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803F"/>
    <pageSetUpPr fitToPage="tru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9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1.5" hidden="false" customHeight="true" outlineLevel="0" collapsed="false">
      <c r="B5" s="3" t="s">
        <v>2</v>
      </c>
      <c r="C5" s="4" t="s">
        <v>3</v>
      </c>
    </row>
    <row r="6" customFormat="false" ht="31.5" hidden="false" customHeight="true" outlineLevel="0" collapsed="false">
      <c r="B6" s="3" t="s">
        <v>4</v>
      </c>
      <c r="C6" s="4" t="s">
        <v>5</v>
      </c>
    </row>
    <row r="7" customFormat="false" ht="31.5" hidden="false" customHeight="true" outlineLevel="0" collapsed="false">
      <c r="B7" s="3" t="s">
        <v>6</v>
      </c>
      <c r="C7" s="4" t="s">
        <v>7</v>
      </c>
    </row>
    <row r="8" customFormat="false" ht="31.5" hidden="false" customHeight="true" outlineLevel="0" collapsed="false">
      <c r="B8" s="3" t="s">
        <v>8</v>
      </c>
      <c r="C8" s="4" t="s">
        <v>9</v>
      </c>
    </row>
    <row r="9" customFormat="false" ht="31.5" hidden="false" customHeight="true" outlineLevel="0" collapsed="false">
      <c r="B9" s="3" t="s">
        <v>10</v>
      </c>
      <c r="C9" s="4" t="s">
        <v>11</v>
      </c>
    </row>
    <row r="10" customFormat="false" ht="31.5" hidden="false" customHeight="true" outlineLevel="0" collapsed="false">
      <c r="B10" s="3" t="s">
        <v>12</v>
      </c>
      <c r="C10" s="4" t="s">
        <v>13</v>
      </c>
    </row>
    <row r="12" customFormat="false" ht="15" hidden="false" customHeight="false" outlineLevel="0" collapsed="false">
      <c r="B12" s="5" t="s">
        <v>14</v>
      </c>
    </row>
    <row r="13" customFormat="false" ht="15" hidden="false" customHeight="false" outlineLevel="0" collapsed="false">
      <c r="B13" s="6"/>
      <c r="C13" s="7" t="s">
        <v>15</v>
      </c>
    </row>
    <row r="14" customFormat="false" ht="15" hidden="false" customHeight="false" outlineLevel="0" collapsed="false">
      <c r="B14" s="8"/>
      <c r="C14" s="7" t="s">
        <v>16</v>
      </c>
    </row>
    <row r="16" customFormat="false" ht="15" hidden="false" customHeight="false" outlineLevel="0" collapsed="false">
      <c r="B16" s="9" t="s">
        <v>17</v>
      </c>
      <c r="C16" s="9"/>
    </row>
    <row r="18" customFormat="false" ht="15" hidden="false" customHeight="false" outlineLevel="0" collapsed="false">
      <c r="B18" s="10" t="s">
        <v>18</v>
      </c>
      <c r="C18" s="10"/>
    </row>
  </sheetData>
  <mergeCells count="2">
    <mergeCell ref="B16:C16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B2:E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5"/>
  </cols>
  <sheetData>
    <row r="2" customFormat="false" ht="22.05" hidden="false" customHeight="false" outlineLevel="0" collapsed="false">
      <c r="B2" s="11" t="s">
        <v>19</v>
      </c>
    </row>
    <row r="3" customFormat="false" ht="15" hidden="false" customHeight="false" outlineLevel="0" collapsed="false">
      <c r="B3" s="12" t="s">
        <v>20</v>
      </c>
      <c r="C3" s="13"/>
      <c r="D3" s="13"/>
    </row>
    <row r="6" customFormat="false" ht="15" hidden="false" customHeight="false" outlineLevel="0" collapsed="false">
      <c r="B6" s="14" t="s">
        <v>21</v>
      </c>
      <c r="C6" s="15" t="s">
        <v>22</v>
      </c>
      <c r="D6" s="15" t="s">
        <v>23</v>
      </c>
      <c r="E6" s="15" t="s">
        <v>24</v>
      </c>
    </row>
    <row r="7" customFormat="false" ht="15" hidden="false" customHeight="false" outlineLevel="0" collapsed="false">
      <c r="B7" s="16" t="s">
        <v>25</v>
      </c>
      <c r="C7" s="17"/>
      <c r="D7" s="17"/>
      <c r="E7" s="18" t="str">
        <f aca="false">IF(D7="","",D7-C7)</f>
        <v/>
      </c>
    </row>
    <row r="8" customFormat="false" ht="15" hidden="false" customHeight="false" outlineLevel="0" collapsed="false">
      <c r="B8" s="16" t="s">
        <v>26</v>
      </c>
      <c r="C8" s="17"/>
      <c r="D8" s="17"/>
      <c r="E8" s="18" t="str">
        <f aca="false">IF(D8="","",D8-C8)</f>
        <v/>
      </c>
    </row>
    <row r="9" customFormat="false" ht="15" hidden="false" customHeight="false" outlineLevel="0" collapsed="false">
      <c r="B9" s="16" t="s">
        <v>27</v>
      </c>
      <c r="C9" s="17"/>
      <c r="D9" s="17"/>
      <c r="E9" s="18" t="str">
        <f aca="false">IF(D9="","",D9-C9)</f>
        <v/>
      </c>
    </row>
    <row r="10" customFormat="false" ht="15" hidden="false" customHeight="false" outlineLevel="0" collapsed="false">
      <c r="B10" s="16" t="s">
        <v>28</v>
      </c>
      <c r="C10" s="17"/>
      <c r="D10" s="17"/>
      <c r="E10" s="18" t="str">
        <f aca="false">IF(D10="","",D10-C10)</f>
        <v/>
      </c>
    </row>
    <row r="11" customFormat="false" ht="15" hidden="false" customHeight="false" outlineLevel="0" collapsed="false">
      <c r="B11" s="16" t="s">
        <v>29</v>
      </c>
      <c r="C11" s="17"/>
      <c r="D11" s="17"/>
      <c r="E11" s="18" t="str">
        <f aca="false">IF(D11="","",D11-C11)</f>
        <v/>
      </c>
    </row>
    <row r="12" customFormat="false" ht="15" hidden="false" customHeight="false" outlineLevel="0" collapsed="false">
      <c r="B12" s="19" t="s">
        <v>30</v>
      </c>
      <c r="C12" s="20" t="n">
        <f aca="false">SUM(C7:C11)</f>
        <v>0</v>
      </c>
      <c r="D12" s="20" t="n">
        <f aca="false">SUM(D7:D11)</f>
        <v>0</v>
      </c>
      <c r="E12" s="20" t="str">
        <f aca="false">IF(COUNT(D7:D11)=0,"",SUM(E7:E11))</f>
        <v/>
      </c>
    </row>
    <row r="14" customFormat="false" ht="15" hidden="false" customHeight="false" outlineLevel="0" collapsed="false">
      <c r="B14" s="14" t="s">
        <v>31</v>
      </c>
      <c r="C14" s="15" t="s">
        <v>22</v>
      </c>
      <c r="D14" s="15" t="s">
        <v>23</v>
      </c>
      <c r="E14" s="15" t="s">
        <v>24</v>
      </c>
    </row>
    <row r="15" customFormat="false" ht="15" hidden="false" customHeight="false" outlineLevel="0" collapsed="false">
      <c r="B15" s="16" t="s">
        <v>32</v>
      </c>
      <c r="C15" s="17"/>
      <c r="D15" s="17"/>
      <c r="E15" s="18" t="str">
        <f aca="false">IF(D15="","",C15-D15)</f>
        <v/>
      </c>
    </row>
    <row r="16" customFormat="false" ht="15" hidden="false" customHeight="false" outlineLevel="0" collapsed="false">
      <c r="B16" s="16" t="s">
        <v>33</v>
      </c>
      <c r="C16" s="17"/>
      <c r="D16" s="17"/>
      <c r="E16" s="18" t="str">
        <f aca="false">IF(D16="","",C16-D16)</f>
        <v/>
      </c>
    </row>
    <row r="17" customFormat="false" ht="15" hidden="false" customHeight="false" outlineLevel="0" collapsed="false">
      <c r="B17" s="16" t="s">
        <v>34</v>
      </c>
      <c r="C17" s="17"/>
      <c r="D17" s="17"/>
      <c r="E17" s="18" t="str">
        <f aca="false">IF(D17="","",C17-D17)</f>
        <v/>
      </c>
    </row>
    <row r="18" customFormat="false" ht="15" hidden="false" customHeight="false" outlineLevel="0" collapsed="false">
      <c r="B18" s="16" t="s">
        <v>35</v>
      </c>
      <c r="C18" s="17"/>
      <c r="D18" s="17"/>
      <c r="E18" s="18" t="str">
        <f aca="false">IF(D18="","",C18-D18)</f>
        <v/>
      </c>
    </row>
    <row r="19" customFormat="false" ht="15" hidden="false" customHeight="false" outlineLevel="0" collapsed="false">
      <c r="B19" s="16" t="s">
        <v>36</v>
      </c>
      <c r="C19" s="17"/>
      <c r="D19" s="17"/>
      <c r="E19" s="18" t="str">
        <f aca="false">IF(D19="","",C19-D19)</f>
        <v/>
      </c>
    </row>
    <row r="20" customFormat="false" ht="15" hidden="false" customHeight="false" outlineLevel="0" collapsed="false">
      <c r="B20" s="16" t="s">
        <v>37</v>
      </c>
      <c r="C20" s="17"/>
      <c r="D20" s="17"/>
      <c r="E20" s="18" t="str">
        <f aca="false">IF(D20="","",C20-D20)</f>
        <v/>
      </c>
    </row>
    <row r="21" customFormat="false" ht="15" hidden="false" customHeight="false" outlineLevel="0" collapsed="false">
      <c r="B21" s="16" t="s">
        <v>38</v>
      </c>
      <c r="C21" s="17"/>
      <c r="D21" s="17"/>
      <c r="E21" s="18" t="str">
        <f aca="false">IF(D21="","",C21-D21)</f>
        <v/>
      </c>
    </row>
    <row r="22" customFormat="false" ht="15" hidden="false" customHeight="false" outlineLevel="0" collapsed="false">
      <c r="B22" s="16" t="s">
        <v>39</v>
      </c>
      <c r="C22" s="21" t="n">
        <f aca="false">'My debts'!E16</f>
        <v>0</v>
      </c>
      <c r="D22" s="17"/>
      <c r="E22" s="18" t="str">
        <f aca="false">IF(D22="","",C22-D22)</f>
        <v/>
      </c>
    </row>
    <row r="23" customFormat="false" ht="15" hidden="false" customHeight="false" outlineLevel="0" collapsed="false">
      <c r="B23" s="16" t="s">
        <v>40</v>
      </c>
      <c r="C23" s="17"/>
      <c r="D23" s="17"/>
      <c r="E23" s="18" t="str">
        <f aca="false">IF(D23="","",C23-D23)</f>
        <v/>
      </c>
    </row>
    <row r="24" customFormat="false" ht="15" hidden="false" customHeight="false" outlineLevel="0" collapsed="false">
      <c r="B24" s="19" t="s">
        <v>41</v>
      </c>
      <c r="C24" s="20" t="n">
        <f aca="false">SUM(C15:C23)</f>
        <v>0</v>
      </c>
      <c r="D24" s="20" t="n">
        <f aca="false">SUM(D15:D23)</f>
        <v>0</v>
      </c>
      <c r="E24" s="20" t="str">
        <f aca="false">IF(COUNT(D15:D23)=0,"",SUM(E15:E23))</f>
        <v/>
      </c>
    </row>
    <row r="26" customFormat="false" ht="15" hidden="false" customHeight="false" outlineLevel="0" collapsed="false">
      <c r="B26" s="14" t="s">
        <v>42</v>
      </c>
      <c r="C26" s="15" t="s">
        <v>22</v>
      </c>
      <c r="D26" s="15" t="s">
        <v>23</v>
      </c>
      <c r="E26" s="15" t="s">
        <v>24</v>
      </c>
    </row>
    <row r="27" customFormat="false" ht="15" hidden="false" customHeight="false" outlineLevel="0" collapsed="false">
      <c r="B27" s="16" t="s">
        <v>43</v>
      </c>
      <c r="C27" s="17"/>
      <c r="D27" s="17"/>
      <c r="E27" s="18" t="str">
        <f aca="false">IF(D27="","",C27-D27)</f>
        <v/>
      </c>
    </row>
    <row r="28" customFormat="false" ht="15" hidden="false" customHeight="false" outlineLevel="0" collapsed="false">
      <c r="B28" s="16" t="s">
        <v>44</v>
      </c>
      <c r="C28" s="17"/>
      <c r="D28" s="17"/>
      <c r="E28" s="18" t="str">
        <f aca="false">IF(D28="","",C28-D28)</f>
        <v/>
      </c>
    </row>
    <row r="29" customFormat="false" ht="15" hidden="false" customHeight="false" outlineLevel="0" collapsed="false">
      <c r="B29" s="16" t="s">
        <v>45</v>
      </c>
      <c r="C29" s="17"/>
      <c r="D29" s="17"/>
      <c r="E29" s="18" t="str">
        <f aca="false">IF(D29="","",C29-D29)</f>
        <v/>
      </c>
    </row>
    <row r="30" customFormat="false" ht="15" hidden="false" customHeight="false" outlineLevel="0" collapsed="false">
      <c r="B30" s="16" t="s">
        <v>46</v>
      </c>
      <c r="C30" s="17"/>
      <c r="D30" s="17"/>
      <c r="E30" s="18" t="str">
        <f aca="false">IF(D30="","",C30-D30)</f>
        <v/>
      </c>
    </row>
    <row r="31" customFormat="false" ht="15" hidden="false" customHeight="false" outlineLevel="0" collapsed="false">
      <c r="B31" s="16" t="s">
        <v>47</v>
      </c>
      <c r="C31" s="17"/>
      <c r="D31" s="17"/>
      <c r="E31" s="18" t="str">
        <f aca="false">IF(D31="","",C31-D31)</f>
        <v/>
      </c>
    </row>
    <row r="32" customFormat="false" ht="15" hidden="false" customHeight="false" outlineLevel="0" collapsed="false">
      <c r="B32" s="16" t="s">
        <v>48</v>
      </c>
      <c r="C32" s="17"/>
      <c r="D32" s="17"/>
      <c r="E32" s="18" t="str">
        <f aca="false">IF(D32="","",C32-D32)</f>
        <v/>
      </c>
    </row>
    <row r="33" customFormat="false" ht="15" hidden="false" customHeight="false" outlineLevel="0" collapsed="false">
      <c r="B33" s="16" t="s">
        <v>49</v>
      </c>
      <c r="C33" s="17"/>
      <c r="D33" s="17"/>
      <c r="E33" s="18" t="str">
        <f aca="false">IF(D33="","",C33-D33)</f>
        <v/>
      </c>
    </row>
    <row r="34" customFormat="false" ht="15" hidden="false" customHeight="false" outlineLevel="0" collapsed="false">
      <c r="B34" s="16" t="s">
        <v>50</v>
      </c>
      <c r="C34" s="17"/>
      <c r="D34" s="17"/>
      <c r="E34" s="18" t="str">
        <f aca="false">IF(D34="","",C34-D34)</f>
        <v/>
      </c>
    </row>
    <row r="35" customFormat="false" ht="15" hidden="false" customHeight="false" outlineLevel="0" collapsed="false">
      <c r="B35" s="19" t="s">
        <v>51</v>
      </c>
      <c r="C35" s="20" t="n">
        <f aca="false">SUM(C27:C34)</f>
        <v>0</v>
      </c>
      <c r="D35" s="20" t="n">
        <f aca="false">SUM(D27:D34)</f>
        <v>0</v>
      </c>
      <c r="E35" s="20" t="str">
        <f aca="false">IF(COUNT(D27:D34)=0,"",SUM(E27:E34))</f>
        <v/>
      </c>
    </row>
    <row r="37" customFormat="false" ht="15" hidden="false" customHeight="false" outlineLevel="0" collapsed="false">
      <c r="B37" s="14" t="s">
        <v>52</v>
      </c>
      <c r="C37" s="15" t="s">
        <v>22</v>
      </c>
      <c r="D37" s="15" t="s">
        <v>23</v>
      </c>
      <c r="E37" s="15" t="s">
        <v>24</v>
      </c>
    </row>
    <row r="38" customFormat="false" ht="15" hidden="false" customHeight="false" outlineLevel="0" collapsed="false">
      <c r="B38" s="16" t="s">
        <v>53</v>
      </c>
      <c r="C38" s="17"/>
      <c r="D38" s="17"/>
      <c r="E38" s="18" t="str">
        <f aca="false">IF(D38="","",C38-D38)</f>
        <v/>
      </c>
    </row>
    <row r="39" customFormat="false" ht="15" hidden="false" customHeight="false" outlineLevel="0" collapsed="false">
      <c r="B39" s="16" t="s">
        <v>54</v>
      </c>
      <c r="C39" s="17"/>
      <c r="D39" s="17"/>
      <c r="E39" s="18" t="str">
        <f aca="false">IF(D39="","",C39-D39)</f>
        <v/>
      </c>
    </row>
    <row r="40" customFormat="false" ht="15" hidden="false" customHeight="false" outlineLevel="0" collapsed="false">
      <c r="B40" s="16" t="s">
        <v>55</v>
      </c>
      <c r="C40" s="17"/>
      <c r="D40" s="17"/>
      <c r="E40" s="18" t="str">
        <f aca="false">IF(D40="","",C40-D40)</f>
        <v/>
      </c>
    </row>
    <row r="41" customFormat="false" ht="15" hidden="false" customHeight="false" outlineLevel="0" collapsed="false">
      <c r="B41" s="16" t="s">
        <v>56</v>
      </c>
      <c r="C41" s="17"/>
      <c r="D41" s="17"/>
      <c r="E41" s="18" t="str">
        <f aca="false">IF(D41="","",C41-D41)</f>
        <v/>
      </c>
    </row>
    <row r="42" customFormat="false" ht="15" hidden="false" customHeight="false" outlineLevel="0" collapsed="false">
      <c r="B42" s="16" t="s">
        <v>57</v>
      </c>
      <c r="C42" s="17"/>
      <c r="D42" s="17"/>
      <c r="E42" s="18" t="str">
        <f aca="false">IF(D42="","",C42-D42)</f>
        <v/>
      </c>
    </row>
    <row r="43" customFormat="false" ht="15" hidden="false" customHeight="false" outlineLevel="0" collapsed="false">
      <c r="B43" s="19" t="s">
        <v>58</v>
      </c>
      <c r="C43" s="20" t="n">
        <f aca="false">SUM(C38:C42)</f>
        <v>0</v>
      </c>
      <c r="D43" s="20" t="n">
        <f aca="false">SUM(D38:D42)</f>
        <v>0</v>
      </c>
      <c r="E43" s="20" t="str">
        <f aca="false">IF(COUNT(D38:D42)=0,"",SUM(E38:E42))</f>
        <v/>
      </c>
    </row>
    <row r="45" customFormat="false" ht="15" hidden="false" customHeight="false" outlineLevel="0" collapsed="false">
      <c r="B45" s="22" t="s">
        <v>59</v>
      </c>
    </row>
    <row r="47" customFormat="false" ht="15" hidden="false" customHeight="false" outlineLevel="0" collapsed="false">
      <c r="B47" s="23" t="s">
        <v>60</v>
      </c>
      <c r="C47" s="24" t="s">
        <v>22</v>
      </c>
      <c r="D47" s="24" t="s">
        <v>23</v>
      </c>
    </row>
    <row r="48" customFormat="false" ht="15" hidden="false" customHeight="false" outlineLevel="0" collapsed="false">
      <c r="B48" s="16" t="s">
        <v>61</v>
      </c>
      <c r="C48" s="25" t="n">
        <f aca="false">C12</f>
        <v>0</v>
      </c>
      <c r="D48" s="25" t="n">
        <f aca="false">D12</f>
        <v>0</v>
      </c>
    </row>
    <row r="49" customFormat="false" ht="15" hidden="false" customHeight="false" outlineLevel="0" collapsed="false">
      <c r="B49" s="16" t="s">
        <v>62</v>
      </c>
      <c r="C49" s="25" t="n">
        <f aca="false">C24+C35</f>
        <v>0</v>
      </c>
      <c r="D49" s="25" t="n">
        <f aca="false">D24+D35</f>
        <v>0</v>
      </c>
    </row>
    <row r="50" customFormat="false" ht="15" hidden="false" customHeight="false" outlineLevel="0" collapsed="false">
      <c r="B50" s="16" t="s">
        <v>52</v>
      </c>
      <c r="C50" s="25" t="n">
        <f aca="false">C43</f>
        <v>0</v>
      </c>
      <c r="D50" s="25" t="n">
        <f aca="false">D43</f>
        <v>0</v>
      </c>
    </row>
    <row r="51" customFormat="false" ht="15" hidden="false" customHeight="false" outlineLevel="0" collapsed="false">
      <c r="B51" s="26" t="s">
        <v>63</v>
      </c>
      <c r="C51" s="27" t="n">
        <f aca="false">C12-C24-C35-C43</f>
        <v>0</v>
      </c>
      <c r="D51" s="27" t="n">
        <f aca="false">D12-D24-D35-D43</f>
        <v>0</v>
      </c>
    </row>
    <row r="52" customFormat="false" ht="15" hidden="false" customHeight="false" outlineLevel="0" collapsed="false">
      <c r="B52" s="28" t="s">
        <v>64</v>
      </c>
      <c r="C52" s="29" t="str">
        <f aca="false">IF(C12=0,"",C43/C12)</f>
        <v/>
      </c>
      <c r="D52" s="29" t="str">
        <f aca="false">IF(D12=0,"",D43/D12)</f>
        <v/>
      </c>
    </row>
    <row r="54" customFormat="false" ht="15" hidden="false" customHeight="false" outlineLevel="0" collapsed="false">
      <c r="B54" s="30" t="s">
        <v>65</v>
      </c>
      <c r="C54" s="30"/>
      <c r="D54" s="30"/>
    </row>
    <row r="55" customFormat="false" ht="15" hidden="false" customHeight="false" outlineLevel="0" collapsed="false">
      <c r="B55" s="12" t="s">
        <v>66</v>
      </c>
      <c r="C55" s="31" t="n">
        <f aca="false">C24+C35</f>
        <v>0</v>
      </c>
    </row>
    <row r="56" customFormat="false" ht="15" hidden="false" customHeight="false" outlineLevel="0" collapsed="false">
      <c r="B56" s="28" t="s">
        <v>67</v>
      </c>
      <c r="C56" s="32" t="n">
        <f aca="false">C55</f>
        <v>0</v>
      </c>
    </row>
    <row r="57" customFormat="false" ht="15" hidden="false" customHeight="false" outlineLevel="0" collapsed="false">
      <c r="B57" s="28" t="s">
        <v>68</v>
      </c>
      <c r="C57" s="32" t="n">
        <f aca="false">C55*2</f>
        <v>0</v>
      </c>
    </row>
    <row r="58" customFormat="false" ht="15" hidden="false" customHeight="false" outlineLevel="0" collapsed="false">
      <c r="B58" s="33" t="s">
        <v>69</v>
      </c>
      <c r="C58" s="34" t="n">
        <f aca="false">C55*3</f>
        <v>0</v>
      </c>
    </row>
    <row r="60" customFormat="false" ht="15" hidden="false" customHeight="false" outlineLevel="0" collapsed="false">
      <c r="B60" s="35" t="s">
        <v>70</v>
      </c>
    </row>
  </sheetData>
  <mergeCells count="1">
    <mergeCell ref="C3:D3"/>
  </mergeCells>
  <conditionalFormatting sqref="E7:E4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C51:D51"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2"/>
  </cols>
  <sheetData>
    <row r="2" customFormat="false" ht="22.05" hidden="false" customHeight="false" outlineLevel="0" collapsed="false">
      <c r="B2" s="11" t="s">
        <v>71</v>
      </c>
    </row>
    <row r="3" customFormat="false" ht="15" hidden="false" customHeight="false" outlineLevel="0" collapsed="false">
      <c r="B3" s="36" t="s">
        <v>72</v>
      </c>
    </row>
    <row r="5" customFormat="false" ht="15" hidden="false" customHeight="false" outlineLevel="0" collapsed="false">
      <c r="B5" s="14" t="s">
        <v>73</v>
      </c>
      <c r="C5" s="15" t="s">
        <v>74</v>
      </c>
      <c r="D5" s="15" t="s">
        <v>75</v>
      </c>
      <c r="E5" s="15" t="s">
        <v>76</v>
      </c>
      <c r="F5" s="15" t="s">
        <v>77</v>
      </c>
    </row>
    <row r="6" customFormat="false" ht="15" hidden="false" customHeight="false" outlineLevel="0" collapsed="false">
      <c r="B6" s="37"/>
      <c r="C6" s="17"/>
      <c r="D6" s="38"/>
      <c r="E6" s="17"/>
      <c r="F6" s="39" t="str">
        <f aca="false">IF(D6="","",RANK(D6,$D$6:$D$15,0)+COUNTIF($D$6:D6,D6)-1)</f>
        <v/>
      </c>
    </row>
    <row r="7" customFormat="false" ht="15" hidden="false" customHeight="false" outlineLevel="0" collapsed="false">
      <c r="B7" s="37"/>
      <c r="C7" s="17"/>
      <c r="D7" s="38"/>
      <c r="E7" s="17"/>
      <c r="F7" s="39" t="str">
        <f aca="false">IF(D7="","",RANK(D7,$D$6:$D$15,0)+COUNTIF($D$6:D7,D7)-1)</f>
        <v/>
      </c>
    </row>
    <row r="8" customFormat="false" ht="15" hidden="false" customHeight="false" outlineLevel="0" collapsed="false">
      <c r="B8" s="37"/>
      <c r="C8" s="17"/>
      <c r="D8" s="38"/>
      <c r="E8" s="17"/>
      <c r="F8" s="39" t="str">
        <f aca="false">IF(D8="","",RANK(D8,$D$6:$D$15,0)+COUNTIF($D$6:D8,D8)-1)</f>
        <v/>
      </c>
    </row>
    <row r="9" customFormat="false" ht="15" hidden="false" customHeight="false" outlineLevel="0" collapsed="false">
      <c r="B9" s="37"/>
      <c r="C9" s="17"/>
      <c r="D9" s="38"/>
      <c r="E9" s="17"/>
      <c r="F9" s="39" t="str">
        <f aca="false">IF(D9="","",RANK(D9,$D$6:$D$15,0)+COUNTIF($D$6:D9,D9)-1)</f>
        <v/>
      </c>
    </row>
    <row r="10" customFormat="false" ht="15" hidden="false" customHeight="false" outlineLevel="0" collapsed="false">
      <c r="B10" s="37"/>
      <c r="C10" s="17"/>
      <c r="D10" s="38"/>
      <c r="E10" s="17"/>
      <c r="F10" s="39" t="str">
        <f aca="false">IF(D10="","",RANK(D10,$D$6:$D$15,0)+COUNTIF($D$6:D10,D10)-1)</f>
        <v/>
      </c>
    </row>
    <row r="11" customFormat="false" ht="15" hidden="false" customHeight="false" outlineLevel="0" collapsed="false">
      <c r="B11" s="37"/>
      <c r="C11" s="17"/>
      <c r="D11" s="38"/>
      <c r="E11" s="17"/>
      <c r="F11" s="39" t="str">
        <f aca="false">IF(D11="","",RANK(D11,$D$6:$D$15,0)+COUNTIF($D$6:D11,D11)-1)</f>
        <v/>
      </c>
    </row>
    <row r="12" customFormat="false" ht="15" hidden="false" customHeight="false" outlineLevel="0" collapsed="false">
      <c r="B12" s="37"/>
      <c r="C12" s="17"/>
      <c r="D12" s="38"/>
      <c r="E12" s="17"/>
      <c r="F12" s="39" t="str">
        <f aca="false">IF(D12="","",RANK(D12,$D$6:$D$15,0)+COUNTIF($D$6:D12,D12)-1)</f>
        <v/>
      </c>
    </row>
    <row r="13" customFormat="false" ht="15" hidden="false" customHeight="false" outlineLevel="0" collapsed="false">
      <c r="B13" s="37"/>
      <c r="C13" s="17"/>
      <c r="D13" s="38"/>
      <c r="E13" s="17"/>
      <c r="F13" s="39" t="str">
        <f aca="false">IF(D13="","",RANK(D13,$D$6:$D$15,0)+COUNTIF($D$6:D13,D13)-1)</f>
        <v/>
      </c>
    </row>
    <row r="14" customFormat="false" ht="15" hidden="false" customHeight="false" outlineLevel="0" collapsed="false">
      <c r="B14" s="37"/>
      <c r="C14" s="17"/>
      <c r="D14" s="38"/>
      <c r="E14" s="17"/>
      <c r="F14" s="39" t="str">
        <f aca="false">IF(D14="","",RANK(D14,$D$6:$D$15,0)+COUNTIF($D$6:D14,D14)-1)</f>
        <v/>
      </c>
    </row>
    <row r="15" customFormat="false" ht="15" hidden="false" customHeight="false" outlineLevel="0" collapsed="false">
      <c r="B15" s="37"/>
      <c r="C15" s="17"/>
      <c r="D15" s="38"/>
      <c r="E15" s="17"/>
      <c r="F15" s="39" t="str">
        <f aca="false">IF(D15="","",RANK(D15,$D$6:$D$15,0)+COUNTIF($D$6:D15,D15)-1)</f>
        <v/>
      </c>
    </row>
    <row r="16" customFormat="false" ht="15" hidden="false" customHeight="false" outlineLevel="0" collapsed="false">
      <c r="B16" s="40" t="s">
        <v>78</v>
      </c>
      <c r="C16" s="41" t="n">
        <f aca="false">SUM(C6:C15)</f>
        <v>0</v>
      </c>
      <c r="D16" s="42"/>
      <c r="E16" s="41" t="n">
        <f aca="false">SUM(E6:E15)</f>
        <v>0</v>
      </c>
      <c r="F16" s="42"/>
    </row>
    <row r="18" customFormat="false" ht="15" hidden="false" customHeight="false" outlineLevel="0" collapsed="false">
      <c r="B18" s="2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5"/>
    <pageSetUpPr fitToPage="true"/>
  </sheetPr>
  <dimension ref="B2:E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5"/>
  </cols>
  <sheetData>
    <row r="2" customFormat="false" ht="22.05" hidden="false" customHeight="false" outlineLevel="0" collapsed="false">
      <c r="B2" s="11" t="s">
        <v>80</v>
      </c>
    </row>
    <row r="3" customFormat="false" ht="15" hidden="false" customHeight="false" outlineLevel="0" collapsed="false">
      <c r="B3" s="12" t="s">
        <v>20</v>
      </c>
      <c r="C3" s="13" t="s">
        <v>81</v>
      </c>
      <c r="D3" s="13"/>
    </row>
    <row r="4" customFormat="false" ht="15" hidden="false" customHeight="false" outlineLevel="0" collapsed="false">
      <c r="B4" s="22" t="s">
        <v>82</v>
      </c>
    </row>
    <row r="6" customFormat="false" ht="15" hidden="false" customHeight="false" outlineLevel="0" collapsed="false">
      <c r="B6" s="14" t="s">
        <v>21</v>
      </c>
      <c r="C6" s="15" t="s">
        <v>22</v>
      </c>
      <c r="D6" s="15" t="s">
        <v>23</v>
      </c>
      <c r="E6" s="15" t="s">
        <v>24</v>
      </c>
    </row>
    <row r="7" customFormat="false" ht="15" hidden="false" customHeight="false" outlineLevel="0" collapsed="false">
      <c r="B7" s="16" t="s">
        <v>25</v>
      </c>
      <c r="C7" s="17" t="n">
        <v>5200</v>
      </c>
      <c r="D7" s="17" t="n">
        <v>5200</v>
      </c>
      <c r="E7" s="18" t="n">
        <f aca="false">IF(D7="","",D7-C7)</f>
        <v>0</v>
      </c>
    </row>
    <row r="8" customFormat="false" ht="15" hidden="false" customHeight="false" outlineLevel="0" collapsed="false">
      <c r="B8" s="16" t="s">
        <v>26</v>
      </c>
      <c r="C8" s="17" t="n">
        <v>2800</v>
      </c>
      <c r="D8" s="17" t="n">
        <v>2800</v>
      </c>
      <c r="E8" s="18" t="n">
        <f aca="false">IF(D8="","",D8-C8)</f>
        <v>0</v>
      </c>
    </row>
    <row r="9" customFormat="false" ht="15" hidden="false" customHeight="false" outlineLevel="0" collapsed="false">
      <c r="B9" s="16" t="s">
        <v>27</v>
      </c>
      <c r="C9" s="17" t="n">
        <v>900</v>
      </c>
      <c r="D9" s="17" t="n">
        <v>900</v>
      </c>
      <c r="E9" s="18" t="n">
        <f aca="false">IF(D9="","",D9-C9)</f>
        <v>0</v>
      </c>
    </row>
    <row r="10" customFormat="false" ht="15" hidden="false" customHeight="false" outlineLevel="0" collapsed="false">
      <c r="B10" s="16" t="s">
        <v>28</v>
      </c>
      <c r="C10" s="17" t="n">
        <v>300</v>
      </c>
      <c r="D10" s="17" t="n">
        <v>150</v>
      </c>
      <c r="E10" s="18" t="n">
        <f aca="false">IF(D10="","",D10-C10)</f>
        <v>-150</v>
      </c>
    </row>
    <row r="11" customFormat="false" ht="15" hidden="false" customHeight="false" outlineLevel="0" collapsed="false">
      <c r="B11" s="16" t="s">
        <v>29</v>
      </c>
      <c r="C11" s="17" t="n">
        <v>0</v>
      </c>
      <c r="D11" s="17" t="n">
        <v>0</v>
      </c>
      <c r="E11" s="18" t="n">
        <f aca="false">IF(D11="","",D11-C11)</f>
        <v>0</v>
      </c>
    </row>
    <row r="12" customFormat="false" ht="15" hidden="false" customHeight="false" outlineLevel="0" collapsed="false">
      <c r="B12" s="19" t="s">
        <v>30</v>
      </c>
      <c r="C12" s="20" t="n">
        <f aca="false">SUM(C7:C11)</f>
        <v>9200</v>
      </c>
      <c r="D12" s="20" t="n">
        <f aca="false">SUM(D7:D11)</f>
        <v>9050</v>
      </c>
      <c r="E12" s="20" t="n">
        <f aca="false">IF(COUNT(D7:D11)=0,"",SUM(E7:E11))</f>
        <v>-150</v>
      </c>
    </row>
    <row r="14" customFormat="false" ht="15" hidden="false" customHeight="false" outlineLevel="0" collapsed="false">
      <c r="B14" s="14" t="s">
        <v>31</v>
      </c>
      <c r="C14" s="15" t="s">
        <v>22</v>
      </c>
      <c r="D14" s="15" t="s">
        <v>23</v>
      </c>
      <c r="E14" s="15" t="s">
        <v>24</v>
      </c>
    </row>
    <row r="15" customFormat="false" ht="15" hidden="false" customHeight="false" outlineLevel="0" collapsed="false">
      <c r="B15" s="16" t="s">
        <v>32</v>
      </c>
      <c r="C15" s="17" t="n">
        <v>2400</v>
      </c>
      <c r="D15" s="17" t="n">
        <v>2400</v>
      </c>
      <c r="E15" s="18" t="n">
        <f aca="false">IF(D15="","",C15-D15)</f>
        <v>0</v>
      </c>
    </row>
    <row r="16" customFormat="false" ht="15" hidden="false" customHeight="false" outlineLevel="0" collapsed="false">
      <c r="B16" s="16" t="s">
        <v>33</v>
      </c>
      <c r="C16" s="17" t="n">
        <v>250</v>
      </c>
      <c r="D16" s="17" t="n">
        <v>250</v>
      </c>
      <c r="E16" s="18" t="n">
        <f aca="false">IF(D16="","",C16-D16)</f>
        <v>0</v>
      </c>
    </row>
    <row r="17" customFormat="false" ht="15" hidden="false" customHeight="false" outlineLevel="0" collapsed="false">
      <c r="B17" s="16" t="s">
        <v>34</v>
      </c>
      <c r="C17" s="17" t="n">
        <v>90</v>
      </c>
      <c r="D17" s="17" t="n">
        <v>90</v>
      </c>
      <c r="E17" s="18" t="n">
        <f aca="false">IF(D17="","",C17-D17)</f>
        <v>0</v>
      </c>
    </row>
    <row r="18" customFormat="false" ht="15" hidden="false" customHeight="false" outlineLevel="0" collapsed="false">
      <c r="B18" s="16" t="s">
        <v>35</v>
      </c>
      <c r="C18" s="17" t="n">
        <v>280</v>
      </c>
      <c r="D18" s="17" t="n">
        <v>310</v>
      </c>
      <c r="E18" s="18" t="n">
        <f aca="false">IF(D18="","",C18-D18)</f>
        <v>-30</v>
      </c>
    </row>
    <row r="19" customFormat="false" ht="15" hidden="false" customHeight="false" outlineLevel="0" collapsed="false">
      <c r="B19" s="16" t="s">
        <v>36</v>
      </c>
      <c r="C19" s="17" t="n">
        <v>180</v>
      </c>
      <c r="D19" s="17" t="n">
        <v>180</v>
      </c>
      <c r="E19" s="18" t="n">
        <f aca="false">IF(D19="","",C19-D19)</f>
        <v>0</v>
      </c>
    </row>
    <row r="20" customFormat="false" ht="15" hidden="false" customHeight="false" outlineLevel="0" collapsed="false">
      <c r="B20" s="16" t="s">
        <v>37</v>
      </c>
      <c r="C20" s="17" t="n">
        <v>260</v>
      </c>
      <c r="D20" s="17" t="n">
        <v>260</v>
      </c>
      <c r="E20" s="18" t="n">
        <f aca="false">IF(D20="","",C20-D20)</f>
        <v>0</v>
      </c>
    </row>
    <row r="21" customFormat="false" ht="15" hidden="false" customHeight="false" outlineLevel="0" collapsed="false">
      <c r="B21" s="16" t="s">
        <v>38</v>
      </c>
      <c r="C21" s="17" t="n">
        <v>600</v>
      </c>
      <c r="D21" s="17" t="n">
        <v>600</v>
      </c>
      <c r="E21" s="18" t="n">
        <f aca="false">IF(D21="","",C21-D21)</f>
        <v>0</v>
      </c>
    </row>
    <row r="22" customFormat="false" ht="15" hidden="false" customHeight="false" outlineLevel="0" collapsed="false">
      <c r="B22" s="16" t="s">
        <v>39</v>
      </c>
      <c r="C22" s="21" t="n">
        <f aca="false">'Example debts'!E16</f>
        <v>890</v>
      </c>
      <c r="D22" s="17" t="n">
        <v>890</v>
      </c>
      <c r="E22" s="18" t="n">
        <f aca="false">IF(D22="","",C22-D22)</f>
        <v>0</v>
      </c>
    </row>
    <row r="23" customFormat="false" ht="15" hidden="false" customHeight="false" outlineLevel="0" collapsed="false">
      <c r="B23" s="16" t="s">
        <v>40</v>
      </c>
      <c r="C23" s="17" t="n">
        <v>300</v>
      </c>
      <c r="D23" s="17" t="n">
        <v>450</v>
      </c>
      <c r="E23" s="18" t="n">
        <f aca="false">IF(D23="","",C23-D23)</f>
        <v>-150</v>
      </c>
    </row>
    <row r="24" customFormat="false" ht="15" hidden="false" customHeight="false" outlineLevel="0" collapsed="false">
      <c r="B24" s="19" t="s">
        <v>41</v>
      </c>
      <c r="C24" s="20" t="n">
        <f aca="false">SUM(C15:C23)</f>
        <v>5250</v>
      </c>
      <c r="D24" s="20" t="n">
        <f aca="false">SUM(D15:D23)</f>
        <v>5430</v>
      </c>
      <c r="E24" s="20" t="n">
        <f aca="false">IF(COUNT(D15:D23)=0,"",SUM(E15:E23))</f>
        <v>-180</v>
      </c>
    </row>
    <row r="26" customFormat="false" ht="15" hidden="false" customHeight="false" outlineLevel="0" collapsed="false">
      <c r="B26" s="14" t="s">
        <v>42</v>
      </c>
      <c r="C26" s="15" t="s">
        <v>22</v>
      </c>
      <c r="D26" s="15" t="s">
        <v>23</v>
      </c>
      <c r="E26" s="15" t="s">
        <v>24</v>
      </c>
    </row>
    <row r="27" customFormat="false" ht="15" hidden="false" customHeight="false" outlineLevel="0" collapsed="false">
      <c r="B27" s="16" t="s">
        <v>43</v>
      </c>
      <c r="C27" s="17" t="n">
        <v>1100</v>
      </c>
      <c r="D27" s="17" t="n">
        <v>1240</v>
      </c>
      <c r="E27" s="18" t="n">
        <f aca="false">IF(D27="","",C27-D27)</f>
        <v>-140</v>
      </c>
    </row>
    <row r="28" customFormat="false" ht="15" hidden="false" customHeight="false" outlineLevel="0" collapsed="false">
      <c r="B28" s="16" t="s">
        <v>44</v>
      </c>
      <c r="C28" s="17" t="n">
        <v>300</v>
      </c>
      <c r="D28" s="17" t="n">
        <v>280</v>
      </c>
      <c r="E28" s="18" t="n">
        <f aca="false">IF(D28="","",C28-D28)</f>
        <v>20</v>
      </c>
    </row>
    <row r="29" customFormat="false" ht="15" hidden="false" customHeight="false" outlineLevel="0" collapsed="false">
      <c r="B29" s="16" t="s">
        <v>45</v>
      </c>
      <c r="C29" s="17" t="n">
        <v>160</v>
      </c>
      <c r="D29" s="17" t="n">
        <v>390</v>
      </c>
      <c r="E29" s="18" t="n">
        <f aca="false">IF(D29="","",C29-D29)</f>
        <v>-230</v>
      </c>
    </row>
    <row r="30" customFormat="false" ht="15" hidden="false" customHeight="false" outlineLevel="0" collapsed="false">
      <c r="B30" s="16" t="s">
        <v>46</v>
      </c>
      <c r="C30" s="17" t="n">
        <v>300</v>
      </c>
      <c r="D30" s="17" t="n">
        <v>260</v>
      </c>
      <c r="E30" s="18" t="n">
        <f aca="false">IF(D30="","",C30-D30)</f>
        <v>40</v>
      </c>
    </row>
    <row r="31" customFormat="false" ht="15" hidden="false" customHeight="false" outlineLevel="0" collapsed="false">
      <c r="B31" s="16" t="s">
        <v>47</v>
      </c>
      <c r="C31" s="17" t="n">
        <v>150</v>
      </c>
      <c r="D31" s="17" t="n">
        <v>120</v>
      </c>
      <c r="E31" s="18" t="n">
        <f aca="false">IF(D31="","",C31-D31)</f>
        <v>30</v>
      </c>
    </row>
    <row r="32" customFormat="false" ht="15" hidden="false" customHeight="false" outlineLevel="0" collapsed="false">
      <c r="B32" s="16" t="s">
        <v>48</v>
      </c>
      <c r="C32" s="17" t="n">
        <v>60</v>
      </c>
      <c r="D32" s="17" t="n">
        <v>75</v>
      </c>
      <c r="E32" s="18" t="n">
        <f aca="false">IF(D32="","",C32-D32)</f>
        <v>-15</v>
      </c>
    </row>
    <row r="33" customFormat="false" ht="15" hidden="false" customHeight="false" outlineLevel="0" collapsed="false">
      <c r="B33" s="16" t="s">
        <v>49</v>
      </c>
      <c r="C33" s="17" t="n">
        <v>200</v>
      </c>
      <c r="D33" s="17" t="n">
        <v>200</v>
      </c>
      <c r="E33" s="18" t="n">
        <f aca="false">IF(D33="","",C33-D33)</f>
        <v>0</v>
      </c>
    </row>
    <row r="34" customFormat="false" ht="15" hidden="false" customHeight="false" outlineLevel="0" collapsed="false">
      <c r="B34" s="16" t="s">
        <v>50</v>
      </c>
      <c r="C34" s="17" t="n">
        <v>100</v>
      </c>
      <c r="D34" s="17" t="n">
        <v>260</v>
      </c>
      <c r="E34" s="18" t="n">
        <f aca="false">IF(D34="","",C34-D34)</f>
        <v>-160</v>
      </c>
    </row>
    <row r="35" customFormat="false" ht="15" hidden="false" customHeight="false" outlineLevel="0" collapsed="false">
      <c r="B35" s="19" t="s">
        <v>51</v>
      </c>
      <c r="C35" s="20" t="n">
        <f aca="false">SUM(C27:C34)</f>
        <v>2370</v>
      </c>
      <c r="D35" s="20" t="n">
        <f aca="false">SUM(D27:D34)</f>
        <v>2825</v>
      </c>
      <c r="E35" s="20" t="n">
        <f aca="false">IF(COUNT(D27:D34)=0,"",SUM(E27:E34))</f>
        <v>-455</v>
      </c>
    </row>
    <row r="37" customFormat="false" ht="15" hidden="false" customHeight="false" outlineLevel="0" collapsed="false">
      <c r="B37" s="14" t="s">
        <v>52</v>
      </c>
      <c r="C37" s="15" t="s">
        <v>22</v>
      </c>
      <c r="D37" s="15" t="s">
        <v>23</v>
      </c>
      <c r="E37" s="15" t="s">
        <v>24</v>
      </c>
    </row>
    <row r="38" customFormat="false" ht="15" hidden="false" customHeight="false" outlineLevel="0" collapsed="false">
      <c r="B38" s="16" t="s">
        <v>53</v>
      </c>
      <c r="C38" s="17" t="n">
        <v>680</v>
      </c>
      <c r="D38" s="17" t="n">
        <v>400</v>
      </c>
      <c r="E38" s="18" t="n">
        <f aca="false">IF(D38="","",C38-D38)</f>
        <v>280</v>
      </c>
    </row>
    <row r="39" customFormat="false" ht="15" hidden="false" customHeight="false" outlineLevel="0" collapsed="false">
      <c r="B39" s="16" t="s">
        <v>54</v>
      </c>
      <c r="C39" s="17" t="n">
        <v>500</v>
      </c>
      <c r="D39" s="17" t="n">
        <v>500</v>
      </c>
      <c r="E39" s="18" t="n">
        <f aca="false">IF(D39="","",C39-D39)</f>
        <v>0</v>
      </c>
    </row>
    <row r="40" customFormat="false" ht="15" hidden="false" customHeight="false" outlineLevel="0" collapsed="false">
      <c r="B40" s="16" t="s">
        <v>55</v>
      </c>
      <c r="C40" s="17" t="n">
        <v>0</v>
      </c>
      <c r="D40" s="17" t="n">
        <v>0</v>
      </c>
      <c r="E40" s="18" t="n">
        <f aca="false">IF(D40="","",C40-D40)</f>
        <v>0</v>
      </c>
    </row>
    <row r="41" customFormat="false" ht="15" hidden="false" customHeight="false" outlineLevel="0" collapsed="false">
      <c r="B41" s="16" t="s">
        <v>56</v>
      </c>
      <c r="C41" s="17" t="n">
        <v>100</v>
      </c>
      <c r="D41" s="17" t="n">
        <v>100</v>
      </c>
      <c r="E41" s="18" t="n">
        <f aca="false">IF(D41="","",C41-D41)</f>
        <v>0</v>
      </c>
    </row>
    <row r="42" customFormat="false" ht="15" hidden="false" customHeight="false" outlineLevel="0" collapsed="false">
      <c r="B42" s="16" t="s">
        <v>57</v>
      </c>
      <c r="C42" s="17" t="n">
        <v>300</v>
      </c>
      <c r="D42" s="17" t="n">
        <v>200</v>
      </c>
      <c r="E42" s="18" t="n">
        <f aca="false">IF(D42="","",C42-D42)</f>
        <v>100</v>
      </c>
    </row>
    <row r="43" customFormat="false" ht="15" hidden="false" customHeight="false" outlineLevel="0" collapsed="false">
      <c r="B43" s="19" t="s">
        <v>58</v>
      </c>
      <c r="C43" s="20" t="n">
        <f aca="false">SUM(C38:C42)</f>
        <v>1580</v>
      </c>
      <c r="D43" s="20" t="n">
        <f aca="false">SUM(D38:D42)</f>
        <v>1200</v>
      </c>
      <c r="E43" s="20" t="n">
        <f aca="false">IF(COUNT(D38:D42)=0,"",SUM(E38:E42))</f>
        <v>380</v>
      </c>
    </row>
    <row r="45" customFormat="false" ht="15" hidden="false" customHeight="false" outlineLevel="0" collapsed="false">
      <c r="B45" s="22" t="s">
        <v>59</v>
      </c>
    </row>
    <row r="47" customFormat="false" ht="15" hidden="false" customHeight="false" outlineLevel="0" collapsed="false">
      <c r="B47" s="23" t="s">
        <v>60</v>
      </c>
      <c r="C47" s="24" t="s">
        <v>22</v>
      </c>
      <c r="D47" s="24" t="s">
        <v>23</v>
      </c>
    </row>
    <row r="48" customFormat="false" ht="15" hidden="false" customHeight="false" outlineLevel="0" collapsed="false">
      <c r="B48" s="16" t="s">
        <v>61</v>
      </c>
      <c r="C48" s="25" t="n">
        <f aca="false">C12</f>
        <v>9200</v>
      </c>
      <c r="D48" s="25" t="n">
        <f aca="false">D12</f>
        <v>9050</v>
      </c>
    </row>
    <row r="49" customFormat="false" ht="15" hidden="false" customHeight="false" outlineLevel="0" collapsed="false">
      <c r="B49" s="16" t="s">
        <v>62</v>
      </c>
      <c r="C49" s="25" t="n">
        <f aca="false">C24+C35</f>
        <v>7620</v>
      </c>
      <c r="D49" s="25" t="n">
        <f aca="false">D24+D35</f>
        <v>8255</v>
      </c>
    </row>
    <row r="50" customFormat="false" ht="15" hidden="false" customHeight="false" outlineLevel="0" collapsed="false">
      <c r="B50" s="16" t="s">
        <v>52</v>
      </c>
      <c r="C50" s="25" t="n">
        <f aca="false">C43</f>
        <v>1580</v>
      </c>
      <c r="D50" s="25" t="n">
        <f aca="false">D43</f>
        <v>1200</v>
      </c>
    </row>
    <row r="51" customFormat="false" ht="15" hidden="false" customHeight="false" outlineLevel="0" collapsed="false">
      <c r="B51" s="26" t="s">
        <v>63</v>
      </c>
      <c r="C51" s="27" t="n">
        <f aca="false">C12-C24-C35-C43</f>
        <v>0</v>
      </c>
      <c r="D51" s="27" t="n">
        <f aca="false">D12-D24-D35-D43</f>
        <v>-405</v>
      </c>
    </row>
    <row r="52" customFormat="false" ht="15" hidden="false" customHeight="false" outlineLevel="0" collapsed="false">
      <c r="B52" s="28" t="s">
        <v>64</v>
      </c>
      <c r="C52" s="29" t="n">
        <f aca="false">IF(C12=0,"",C43/C12)</f>
        <v>0.171739130434783</v>
      </c>
      <c r="D52" s="29" t="n">
        <f aca="false">IF(D12=0,"",D43/D12)</f>
        <v>0.132596685082873</v>
      </c>
    </row>
    <row r="54" customFormat="false" ht="15" hidden="false" customHeight="false" outlineLevel="0" collapsed="false">
      <c r="B54" s="30" t="s">
        <v>65</v>
      </c>
      <c r="C54" s="30"/>
      <c r="D54" s="30"/>
    </row>
    <row r="55" customFormat="false" ht="15" hidden="false" customHeight="false" outlineLevel="0" collapsed="false">
      <c r="B55" s="12" t="s">
        <v>66</v>
      </c>
      <c r="C55" s="31" t="n">
        <f aca="false">C24+C35</f>
        <v>7620</v>
      </c>
    </row>
    <row r="56" customFormat="false" ht="15" hidden="false" customHeight="false" outlineLevel="0" collapsed="false">
      <c r="B56" s="28" t="s">
        <v>67</v>
      </c>
      <c r="C56" s="32" t="n">
        <f aca="false">C55</f>
        <v>7620</v>
      </c>
    </row>
    <row r="57" customFormat="false" ht="15" hidden="false" customHeight="false" outlineLevel="0" collapsed="false">
      <c r="B57" s="28" t="s">
        <v>68</v>
      </c>
      <c r="C57" s="32" t="n">
        <f aca="false">C55*2</f>
        <v>15240</v>
      </c>
    </row>
    <row r="58" customFormat="false" ht="15" hidden="false" customHeight="false" outlineLevel="0" collapsed="false">
      <c r="B58" s="33" t="s">
        <v>69</v>
      </c>
      <c r="C58" s="34" t="n">
        <f aca="false">C55*3</f>
        <v>22860</v>
      </c>
    </row>
    <row r="60" customFormat="false" ht="15" hidden="false" customHeight="false" outlineLevel="0" collapsed="false">
      <c r="B60" s="35" t="s">
        <v>70</v>
      </c>
    </row>
  </sheetData>
  <mergeCells count="1">
    <mergeCell ref="C3:D3"/>
  </mergeCells>
  <conditionalFormatting sqref="E7:E4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C51:D51">
    <cfRule type="cellIs" priority="4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5"/>
    <pageSetUpPr fitToPage="tru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2"/>
  </cols>
  <sheetData>
    <row r="2" customFormat="false" ht="22.05" hidden="false" customHeight="false" outlineLevel="0" collapsed="false">
      <c r="B2" s="11" t="s">
        <v>83</v>
      </c>
    </row>
    <row r="3" customFormat="false" ht="15" hidden="false" customHeight="false" outlineLevel="0" collapsed="false">
      <c r="B3" s="36" t="s">
        <v>72</v>
      </c>
    </row>
    <row r="5" customFormat="false" ht="15" hidden="false" customHeight="false" outlineLevel="0" collapsed="false">
      <c r="B5" s="14" t="s">
        <v>73</v>
      </c>
      <c r="C5" s="15" t="s">
        <v>74</v>
      </c>
      <c r="D5" s="15" t="s">
        <v>75</v>
      </c>
      <c r="E5" s="15" t="s">
        <v>76</v>
      </c>
      <c r="F5" s="15" t="s">
        <v>77</v>
      </c>
    </row>
    <row r="6" customFormat="false" ht="15" hidden="false" customHeight="false" outlineLevel="0" collapsed="false">
      <c r="B6" s="37" t="s">
        <v>84</v>
      </c>
      <c r="C6" s="17" t="n">
        <v>4200</v>
      </c>
      <c r="D6" s="38" t="n">
        <v>0.2099</v>
      </c>
      <c r="E6" s="17" t="n">
        <v>130</v>
      </c>
      <c r="F6" s="39" t="n">
        <f aca="false">IF(D6="","",RANK(D6,$D$6:$D$15,0)+COUNTIF($D$6:D6,D6)-1)</f>
        <v>1</v>
      </c>
    </row>
    <row r="7" customFormat="false" ht="15" hidden="false" customHeight="false" outlineLevel="0" collapsed="false">
      <c r="B7" s="37" t="s">
        <v>85</v>
      </c>
      <c r="C7" s="17" t="n">
        <v>18500</v>
      </c>
      <c r="D7" s="38" t="n">
        <v>0.0749</v>
      </c>
      <c r="E7" s="17" t="n">
        <v>550</v>
      </c>
      <c r="F7" s="39" t="n">
        <f aca="false">IF(D7="","",RANK(D7,$D$6:$D$15,0)+COUNTIF($D$6:D7,D7)-1)</f>
        <v>3</v>
      </c>
    </row>
    <row r="8" customFormat="false" ht="15" hidden="false" customHeight="false" outlineLevel="0" collapsed="false">
      <c r="B8" s="37" t="s">
        <v>86</v>
      </c>
      <c r="C8" s="17" t="n">
        <v>6000</v>
      </c>
      <c r="D8" s="38" t="n">
        <v>0.0895</v>
      </c>
      <c r="E8" s="17" t="n">
        <v>90</v>
      </c>
      <c r="F8" s="39" t="n">
        <f aca="false">IF(D8="","",RANK(D8,$D$6:$D$15,0)+COUNTIF($D$6:D8,D8)-1)</f>
        <v>2</v>
      </c>
    </row>
    <row r="9" customFormat="false" ht="15" hidden="false" customHeight="false" outlineLevel="0" collapsed="false">
      <c r="B9" s="37" t="s">
        <v>87</v>
      </c>
      <c r="C9" s="17" t="n">
        <v>9000</v>
      </c>
      <c r="D9" s="38" t="n">
        <v>0.065</v>
      </c>
      <c r="E9" s="17" t="n">
        <v>120</v>
      </c>
      <c r="F9" s="39" t="n">
        <f aca="false">IF(D9="","",RANK(D9,$D$6:$D$15,0)+COUNTIF($D$6:D9,D9)-1)</f>
        <v>4</v>
      </c>
    </row>
    <row r="10" customFormat="false" ht="15" hidden="false" customHeight="false" outlineLevel="0" collapsed="false">
      <c r="B10" s="37"/>
      <c r="C10" s="17"/>
      <c r="D10" s="38"/>
      <c r="E10" s="17"/>
      <c r="F10" s="39" t="str">
        <f aca="false">IF(D10="","",RANK(D10,$D$6:$D$15,0)+COUNTIF($D$6:D10,D10)-1)</f>
        <v/>
      </c>
    </row>
    <row r="11" customFormat="false" ht="15" hidden="false" customHeight="false" outlineLevel="0" collapsed="false">
      <c r="B11" s="37"/>
      <c r="C11" s="17"/>
      <c r="D11" s="38"/>
      <c r="E11" s="17"/>
      <c r="F11" s="39" t="str">
        <f aca="false">IF(D11="","",RANK(D11,$D$6:$D$15,0)+COUNTIF($D$6:D11,D11)-1)</f>
        <v/>
      </c>
    </row>
    <row r="12" customFormat="false" ht="15" hidden="false" customHeight="false" outlineLevel="0" collapsed="false">
      <c r="B12" s="37"/>
      <c r="C12" s="17"/>
      <c r="D12" s="38"/>
      <c r="E12" s="17"/>
      <c r="F12" s="39" t="str">
        <f aca="false">IF(D12="","",RANK(D12,$D$6:$D$15,0)+COUNTIF($D$6:D12,D12)-1)</f>
        <v/>
      </c>
    </row>
    <row r="13" customFormat="false" ht="15" hidden="false" customHeight="false" outlineLevel="0" collapsed="false">
      <c r="B13" s="37"/>
      <c r="C13" s="17"/>
      <c r="D13" s="38"/>
      <c r="E13" s="17"/>
      <c r="F13" s="39" t="str">
        <f aca="false">IF(D13="","",RANK(D13,$D$6:$D$15,0)+COUNTIF($D$6:D13,D13)-1)</f>
        <v/>
      </c>
    </row>
    <row r="14" customFormat="false" ht="15" hidden="false" customHeight="false" outlineLevel="0" collapsed="false">
      <c r="B14" s="37"/>
      <c r="C14" s="17"/>
      <c r="D14" s="38"/>
      <c r="E14" s="17"/>
      <c r="F14" s="39" t="str">
        <f aca="false">IF(D14="","",RANK(D14,$D$6:$D$15,0)+COUNTIF($D$6:D14,D14)-1)</f>
        <v/>
      </c>
    </row>
    <row r="15" customFormat="false" ht="15" hidden="false" customHeight="false" outlineLevel="0" collapsed="false">
      <c r="B15" s="37"/>
      <c r="C15" s="17"/>
      <c r="D15" s="38"/>
      <c r="E15" s="17"/>
      <c r="F15" s="39" t="str">
        <f aca="false">IF(D15="","",RANK(D15,$D$6:$D$15,0)+COUNTIF($D$6:D15,D15)-1)</f>
        <v/>
      </c>
    </row>
    <row r="16" customFormat="false" ht="15" hidden="false" customHeight="false" outlineLevel="0" collapsed="false">
      <c r="B16" s="40" t="s">
        <v>78</v>
      </c>
      <c r="C16" s="41" t="n">
        <f aca="false">SUM(C6:C15)</f>
        <v>37700</v>
      </c>
      <c r="D16" s="42"/>
      <c r="E16" s="41" t="n">
        <f aca="false">SUM(E6:E15)</f>
        <v>890</v>
      </c>
      <c r="F16" s="42"/>
    </row>
    <row r="18" customFormat="false" ht="15" hidden="false" customHeight="false" outlineLevel="0" collapsed="false">
      <c r="B18" s="2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15.0000</AppVersion>
  <Company>Melius One Consulting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2026-10-20T04:01:28Z</dcterms:created>
  <dc:creator>Obi Oji</dc:creator>
  <dc:description>Created by Obi Oji, Melius One Consulting. meliusoneconsulting.com</dc:description>
  <cp:keywords>Melius One Consulting budget</cp:keywords>
  <dc:language>en-US</dc:language>
  <cp:lastModifiedBy>Obi Oji</cp:lastModifiedBy>
  <dcterms:modified xsi:type="dcterms:W3CDTF">2026-10-20T04:01:28Z</dcterms:modified>
  <cp:revision>0</cp:revision>
  <dc:subject>Budget template for Melius One coaching clients</dc:subject>
  <dc:title>Melius One Monthly Budget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